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4969FD8A-5497-4355-93CB-247CC3967CD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Export CSV (11)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1" l="1"/>
  <c r="D17" i="1"/>
  <c r="D16" i="1"/>
  <c r="D15" i="1"/>
  <c r="D14" i="1"/>
  <c r="D13" i="1"/>
  <c r="D12" i="1"/>
  <c r="D11" i="1"/>
  <c r="D10" i="1"/>
  <c r="D9" i="1"/>
  <c r="D8" i="1"/>
  <c r="D7" i="1"/>
  <c r="D6" i="1"/>
  <c r="D4" i="1"/>
  <c r="C18" i="1" l="1"/>
  <c r="C17" i="1"/>
  <c r="C16" i="1"/>
  <c r="C15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<sst xmlns="http://schemas.openxmlformats.org/spreadsheetml/2006/main" count="45" uniqueCount="45">
  <si>
    <t>OWASP</t>
  </si>
  <si>
    <t>01: Broken Access Control</t>
  </si>
  <si>
    <t>04 : Cryptographic failures</t>
  </si>
  <si>
    <t>05 : Injection</t>
  </si>
  <si>
    <t>06 : Insecure Design</t>
  </si>
  <si>
    <t>02 : Security Misconfiguration</t>
  </si>
  <si>
    <t>03 : Software Supply Chain Failures</t>
  </si>
  <si>
    <t>07: Authentication Failures</t>
  </si>
  <si>
    <t>08: Software and Data Integrity Failures </t>
  </si>
  <si>
    <t>09 : Security Logging and Monitoring Failures</t>
  </si>
  <si>
    <t>10 : Mishandling of Exceptional Conditions</t>
  </si>
  <si>
    <t>Define user roles</t>
  </si>
  <si>
    <t>Identify users using a server session or client ciphered token</t>
  </si>
  <si>
    <t>Allow or Deny user access according to role</t>
  </si>
  <si>
    <t>Access to public directory only</t>
  </si>
  <si>
    <t>Apache2 SSL</t>
  </si>
  <si>
    <t>MySQL SSL</t>
  </si>
  <si>
    <t>Hash (bcrypt)</t>
  </si>
  <si>
    <t>Prepared statements (to database)</t>
  </si>
  <si>
    <t>Output encoding (to browser)</t>
  </si>
  <si>
    <t>Input validation (from brower)</t>
  </si>
  <si>
    <t>Known Design pattern (MVC)</t>
  </si>
  <si>
    <t>CSRF Mitigation (CSRF Token)</t>
  </si>
  <si>
    <t>Disable Apache2 tokens</t>
  </si>
  <si>
    <t>Disable PHP tokens</t>
  </si>
  <si>
    <t>Disable PHP display  errors</t>
  </si>
  <si>
    <t>X-Frame-Options</t>
  </si>
  <si>
    <t>Content-Security-Policy</t>
  </si>
  <si>
    <t>Hypertext Strict Transport Security</t>
  </si>
  <si>
    <t>Cross Origin Request Sharing</t>
  </si>
  <si>
    <t>Use composer to install and update components from a forked repository</t>
  </si>
  <si>
    <t>Brute force mitigation (throttling and/or captcha)</t>
  </si>
  <si>
    <t>Invalidate session on logout or according to expiration date</t>
  </si>
  <si>
    <t>Prevent weak passwords</t>
  </si>
  <si>
    <t>Configuration values outside of repository</t>
  </si>
  <si>
    <t>Enable PHP Error Logging</t>
  </si>
  <si>
    <t>PHP error management (try, catch)</t>
  </si>
  <si>
    <t>Input and Output validation (to third-party services)</t>
  </si>
  <si>
    <t>Note Finale</t>
  </si>
  <si>
    <t>Existence validation</t>
  </si>
  <si>
    <t>Type validation</t>
  </si>
  <si>
    <t>Pattern validation</t>
  </si>
  <si>
    <t>Functional validation</t>
  </si>
  <si>
    <t>Nom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</si>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</sst>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sz val="11"/>
      <color rgb="FF9C0006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Border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0" fontId="1" fillId="2" borderId="0" xfId="1" applyBorder="1" applyAlignment="1" applyProtection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Excel Built-in Bad" xfId="1" xr:uid="{00000000-0005-0000-0000-000006000000}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tabSelected="1" zoomScale="88" zoomScaleNormal="88" workbookViewId="0">
      <pane xSplit="1" topLeftCell="B1" activePane="topRight" state="frozen"/>
      <selection pane="topRight" activeCell="E1" sqref="E1:E1048576"/>
    </sheetView>
  </sheetViews>
  <sheetFormatPr defaultColWidth="11.42578125" defaultRowHeight="15"/>
  <cols>
    <col min="1" max="1" width="27.28515625" customWidth="1"/>
    <col min="2" max="2" width="26.140625" customWidth="1"/>
    <col min="3" max="3" width="7.5703125" customWidth="1"/>
    <col min="4" max="4" width="9.5703125" customWidth="1"/>
    <col min="5" max="5" width="12.5703125" customWidth="1"/>
    <col min="6" max="6" width="20.140625" customWidth="1"/>
    <col min="7" max="7" width="16.42578125" customWidth="1"/>
    <col min="8" max="8" width="14.85546875" customWidth="1"/>
    <col min="9" max="9" width="9.28515625" customWidth="1"/>
    <col min="10" max="10" width="8.28515625" customWidth="1"/>
    <col min="11" max="11" width="9.85546875" customWidth="1"/>
    <col min="12" max="12" width="14.85546875" customWidth="1"/>
    <col min="13" max="13" width="12.140625" customWidth="1"/>
    <col min="14" max="14" width="14.85546875" customWidth="1"/>
    <col min="15" max="15" width="11.7109375" customWidth="1"/>
    <col min="16" max="16" width="11.140625" customWidth="1"/>
    <col min="17" max="17" width="12.85546875" customWidth="1"/>
    <col min="18" max="18" width="14.140625" customWidth="1"/>
    <col min="19" max="19" width="14.7109375" customWidth="1"/>
    <col min="20" max="20" width="12.5703125" customWidth="1"/>
    <col min="21" max="26" width="10.28515625" customWidth="1"/>
    <col min="27" max="29" width="23.5703125" customWidth="1"/>
    <col min="30" max="34" width="23.28515625" customWidth="1"/>
    <col min="36" max="36" width="15.85546875" customWidth="1"/>
  </cols>
  <sheetData>
    <row r="1" spans="1:34" ht="53.25" customHeight="1">
      <c r="D1" s="7" t="s">
        <v>0</v>
      </c>
      <c r="E1" s="7" t="s">
        <v>1</v>
      </c>
      <c r="F1" s="7"/>
      <c r="G1" s="7"/>
      <c r="H1" s="7"/>
      <c r="I1" s="6" t="s">
        <v>2</v>
      </c>
      <c r="J1" s="6"/>
      <c r="K1" s="6"/>
      <c r="L1" s="6" t="s">
        <v>3</v>
      </c>
      <c r="M1" s="6"/>
      <c r="N1" s="6" t="s">
        <v>4</v>
      </c>
      <c r="O1" s="6"/>
      <c r="P1" s="6"/>
      <c r="Q1" s="6"/>
      <c r="R1" s="6"/>
      <c r="S1" s="6"/>
      <c r="T1" s="6" t="s">
        <v>5</v>
      </c>
      <c r="U1" s="6"/>
      <c r="V1" s="6"/>
      <c r="W1" s="6"/>
      <c r="X1" s="6"/>
      <c r="Y1" s="6"/>
      <c r="Z1" s="6"/>
      <c r="AA1" s="1" t="s">
        <v>6</v>
      </c>
      <c r="AB1" s="6" t="s">
        <v>7</v>
      </c>
      <c r="AC1" s="6"/>
      <c r="AD1" s="6"/>
      <c r="AE1" s="1" t="s">
        <v>8</v>
      </c>
      <c r="AF1" s="6" t="s">
        <v>9</v>
      </c>
      <c r="AG1" s="6"/>
      <c r="AH1" s="1" t="s">
        <v>10</v>
      </c>
    </row>
    <row r="2" spans="1:34" ht="15" customHeight="1">
      <c r="D2" s="7"/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  <c r="M2" s="6" t="s">
        <v>19</v>
      </c>
      <c r="N2" s="6" t="s">
        <v>20</v>
      </c>
      <c r="O2" s="6"/>
      <c r="P2" s="6"/>
      <c r="Q2" s="6"/>
      <c r="R2" s="6" t="s">
        <v>21</v>
      </c>
      <c r="S2" s="6" t="s">
        <v>22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28</v>
      </c>
      <c r="Z2" s="6" t="s">
        <v>29</v>
      </c>
      <c r="AA2" s="6" t="s">
        <v>30</v>
      </c>
      <c r="AB2" s="6" t="s">
        <v>31</v>
      </c>
      <c r="AC2" s="6" t="s">
        <v>32</v>
      </c>
      <c r="AD2" s="6" t="s">
        <v>33</v>
      </c>
      <c r="AE2" s="6" t="s">
        <v>34</v>
      </c>
      <c r="AF2" s="6" t="s">
        <v>35</v>
      </c>
      <c r="AG2" s="6" t="s">
        <v>36</v>
      </c>
      <c r="AH2" s="6" t="s">
        <v>37</v>
      </c>
    </row>
    <row r="3" spans="1:34" ht="70.5" customHeight="1">
      <c r="C3" s="2" t="s">
        <v>38</v>
      </c>
      <c r="D3" s="7"/>
      <c r="E3" s="6"/>
      <c r="F3" s="6"/>
      <c r="G3" s="6"/>
      <c r="H3" s="6"/>
      <c r="I3" s="6"/>
      <c r="J3" s="6"/>
      <c r="K3" s="6"/>
      <c r="L3" s="6"/>
      <c r="M3" s="6"/>
      <c r="N3" s="1" t="s">
        <v>39</v>
      </c>
      <c r="O3" s="1" t="s">
        <v>40</v>
      </c>
      <c r="P3" s="1" t="s">
        <v>41</v>
      </c>
      <c r="Q3" s="1" t="s">
        <v>42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>
      <c r="C4">
        <v>20</v>
      </c>
      <c r="D4">
        <f>SUM(E4:AH4)</f>
        <v>30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</row>
    <row r="5" spans="1:34">
      <c r="A5" t="s">
        <v>43</v>
      </c>
      <c r="B5" t="s">
        <v>44</v>
      </c>
    </row>
    <row r="6" spans="1:34" ht="16.350000000000001">
      <c r="C6" s="4">
        <f>(D6/$D$4)*20</f>
        <v>0</v>
      </c>
      <c r="D6">
        <f>SUM(E6:AH6)</f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</row>
    <row r="7" spans="1:34" ht="16.350000000000001">
      <c r="C7" s="4">
        <f>(D7/$D$4)*20</f>
        <v>0</v>
      </c>
      <c r="D7">
        <f>SUM(E7:AH7)</f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</row>
    <row r="8" spans="1:34" ht="16.350000000000001">
      <c r="C8" s="4">
        <f>(D8/$D$4)*20</f>
        <v>0</v>
      </c>
      <c r="D8">
        <f>SUM(E8:AH8)</f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</row>
    <row r="9" spans="1:34" ht="16.350000000000001">
      <c r="C9" s="4">
        <f>(D9/$D$4)*20</f>
        <v>0</v>
      </c>
      <c r="D9">
        <f>SUM(E9:AH9)</f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</row>
    <row r="10" spans="1:34" ht="16.350000000000001">
      <c r="C10" s="4">
        <f>(D10/$D$4)*20</f>
        <v>0</v>
      </c>
      <c r="D10">
        <f>SUM(E10:AH10)</f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</row>
    <row r="11" spans="1:34" ht="16.350000000000001">
      <c r="C11" s="4">
        <f>(D11/$D$4)*20</f>
        <v>0</v>
      </c>
      <c r="D11">
        <f>SUM(E11:AH11)</f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</row>
    <row r="12" spans="1:34" ht="16.350000000000001">
      <c r="C12" s="4">
        <f>(D12/$D$4)*20</f>
        <v>0</v>
      </c>
      <c r="D12">
        <f>SUM(E12:AH12)</f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</row>
    <row r="13" spans="1:34" ht="16.350000000000001">
      <c r="C13" s="4">
        <f>(D13/$D$4)*20</f>
        <v>0</v>
      </c>
      <c r="D13">
        <f>SUM(E13:AH13)</f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</row>
    <row r="14" spans="1:34" ht="16.350000000000001">
      <c r="C14" s="4">
        <f>(D14/$D$4)*20</f>
        <v>0</v>
      </c>
      <c r="D14">
        <f>SUM(E14:AH14)</f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</row>
    <row r="15" spans="1:34" ht="16.350000000000001">
      <c r="C15" s="4">
        <f>(D15/$D$4)*20</f>
        <v>0</v>
      </c>
      <c r="D15">
        <f>SUM(E15:AH15)</f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</row>
    <row r="16" spans="1:34" ht="16.350000000000001">
      <c r="C16" s="4">
        <f>(D16/$D$4)*20</f>
        <v>0</v>
      </c>
      <c r="D16">
        <f>SUM(E16:AH16)</f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</row>
    <row r="17" spans="3:34" ht="16.350000000000001">
      <c r="C17" s="4">
        <f>(D17/$D$4)*20</f>
        <v>0</v>
      </c>
      <c r="D17">
        <f>SUM(E17:AH17)</f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</row>
    <row r="18" spans="3:34" ht="16.350000000000001">
      <c r="C18" s="4">
        <f>(D18/$D$4)*20</f>
        <v>0</v>
      </c>
      <c r="D18">
        <f>SUM(E18:AH18)</f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</row>
  </sheetData>
  <mergeCells count="35">
    <mergeCell ref="D1:D3"/>
    <mergeCell ref="E1:H1"/>
    <mergeCell ref="I1:K1"/>
    <mergeCell ref="L1:M1"/>
    <mergeCell ref="N1:S1"/>
    <mergeCell ref="T1:Z1"/>
    <mergeCell ref="AB1:AD1"/>
    <mergeCell ref="AF1:AG1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Q2"/>
    <mergeCell ref="R2:R3"/>
    <mergeCell ref="S2:S3"/>
    <mergeCell ref="T2:T3"/>
    <mergeCell ref="U2:U3"/>
    <mergeCell ref="V2:V3"/>
    <mergeCell ref="W2:W3"/>
    <mergeCell ref="X2:X3"/>
    <mergeCell ref="Y2:Y3"/>
    <mergeCell ref="AE2:AE3"/>
    <mergeCell ref="AF2:AF3"/>
    <mergeCell ref="AG2:AG3"/>
    <mergeCell ref="AH2:AH3"/>
    <mergeCell ref="Z2:Z3"/>
    <mergeCell ref="AA2:AA3"/>
    <mergeCell ref="AB2:AB3"/>
    <mergeCell ref="AC2:AC3"/>
    <mergeCell ref="AD2:AD3"/>
  </mergeCells>
  <conditionalFormatting sqref="E7:AH18 E6:F18 G6:AH6">
    <cfRule type="cellIs" dxfId="1" priority="2" operator="lessThan">
      <formula>1</formula>
    </cfRule>
    <cfRule type="cellIs" dxfId="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D92402661D340A6508C4EC7CE245E" ma:contentTypeVersion="3" ma:contentTypeDescription="Create a new document." ma:contentTypeScope="" ma:versionID="28ac06f905b89ed4648c058b2bc01065">
  <xsd:schema xmlns:xsd="http://www.w3.org/2001/XMLSchema" xmlns:xs="http://www.w3.org/2001/XMLSchema" xmlns:p="http://schemas.microsoft.com/office/2006/metadata/properties" xmlns:ns2="9375c713-2d56-40b6-8645-13040b7ef960" targetNamespace="http://schemas.microsoft.com/office/2006/metadata/properties" ma:root="true" ma:fieldsID="ee1a4286a95728898384fbc26316bf81" ns2:_="">
    <xsd:import namespace="9375c713-2d56-40b6-8645-13040b7ef9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5c713-2d56-40b6-8645-13040b7ef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110985-5E2E-4DA5-A041-9A1662BFCFE8}"/>
</file>

<file path=customXml/itemProps2.xml><?xml version="1.0" encoding="utf-8"?>
<ds:datastoreItem xmlns:ds="http://schemas.openxmlformats.org/officeDocument/2006/customXml" ds:itemID="{9A9E8C43-8CEF-4325-92F9-935F0E8887E0}"/>
</file>

<file path=customXml/itemProps3.xml><?xml version="1.0" encoding="utf-8"?>
<ds:datastoreItem xmlns:ds="http://schemas.openxmlformats.org/officeDocument/2006/customXml" ds:itemID="{13A67398-A009-44EB-AF92-8F483AE0DF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virtuoworks</dc:creator>
  <cp:keywords/>
  <dc:description/>
  <cp:lastModifiedBy/>
  <cp:revision>2</cp:revision>
  <dcterms:created xsi:type="dcterms:W3CDTF">2023-05-16T12:54:37Z</dcterms:created>
  <dcterms:modified xsi:type="dcterms:W3CDTF">2026-03-23T16:44:08Z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0x010100C30D92402661D340A6508C4EC7CE245E</vt:lpwstr>
  </property>
</Properties>
</file>